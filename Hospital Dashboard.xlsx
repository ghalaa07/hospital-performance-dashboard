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 defaultThemeVersion="166925"/>
  <xr:revisionPtr revIDLastSave="0" documentId="8_{C6AFB3A8-E827-439C-8E5A-4A83E7A367AA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Main Data" sheetId="1" state="hidden" r:id="rId1"/>
    <sheet name="Disease" sheetId="3" state="hidden" r:id="rId2"/>
    <sheet name="Department" sheetId="5" state="hidden" r:id="rId3"/>
    <sheet name="Length Of Stay" sheetId="4" state="hidden" r:id="rId4"/>
    <sheet name="Dashboard" sheetId="6" r:id="rId5"/>
  </sheets>
  <definedNames>
    <definedName name="Slicer_Department">#N/A</definedName>
    <definedName name="Slicer_Gender">#N/A</definedName>
  </definedNames>
  <calcPr calcId="191028"/>
  <pivotCaches>
    <pivotCache cacheId="329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<sst xmlns="http://schemas.openxmlformats.org/spreadsheetml/2006/main" count="122" uniqueCount="25">
  <si>
    <t>Patient ID</t>
  </si>
  <si>
    <t>Age</t>
  </si>
  <si>
    <t>Gender</t>
  </si>
  <si>
    <t>Disease</t>
  </si>
  <si>
    <t>Department</t>
  </si>
  <si>
    <t>Admission Date</t>
  </si>
  <si>
    <t>Length of Stay</t>
  </si>
  <si>
    <t>Male</t>
  </si>
  <si>
    <t>Diabetes</t>
  </si>
  <si>
    <t>Endocrinology</t>
  </si>
  <si>
    <t>Female</t>
  </si>
  <si>
    <t>Asthma</t>
  </si>
  <si>
    <t>Pulmonology</t>
  </si>
  <si>
    <t>Hypertension</t>
  </si>
  <si>
    <t>Cardiology</t>
  </si>
  <si>
    <t>Flu</t>
  </si>
  <si>
    <t>General</t>
  </si>
  <si>
    <t>Heart Disease</t>
  </si>
  <si>
    <t>Infection</t>
  </si>
  <si>
    <t>Stroke</t>
  </si>
  <si>
    <t>Neurology</t>
  </si>
  <si>
    <t>Count of Patient ID</t>
  </si>
  <si>
    <t>Grand Total</t>
  </si>
  <si>
    <t>Average of Length of Stay</t>
  </si>
  <si>
    <t>Hospital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</si>
</sst>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pivotButton="1"/>
    <xf numFmtId="0" fontId="0" fillId="0" borderId="0" xfId="0" applyNumberFormat="1"/>
    <xf numFmtId="1" fontId="0" fillId="0" borderId="0" xfId="0" applyNumberForma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Dashboard.xlsx]Disease!PivotTable1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and Disease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Disease!$B$3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Disease!$A$4:$A$11</c:f>
              <c:strCache>
                <c:ptCount val="7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Heart Disease</c:v>
                </c:pt>
                <c:pt idx="4">
                  <c:v>Hypertension</c:v>
                </c:pt>
                <c:pt idx="5">
                  <c:v>Infection</c:v>
                </c:pt>
                <c:pt idx="6">
                  <c:v>Stroke</c:v>
                </c:pt>
              </c:strCache>
            </c:strRef>
          </c:cat>
          <c:val>
            <c:numRef>
              <c:f>Disease!$B$4:$B$11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F-4E5C-8D3A-9DEEB075D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002504"/>
        <c:axId val="2009004552"/>
      </c:barChart>
      <c:catAx>
        <c:axId val="200900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04552"/>
        <c:crosses val="autoZero"/>
        <c:auto val="1"/>
        <c:lblAlgn val="ctr"/>
        <c:lblOffset val="100"/>
        <c:noMultiLvlLbl val="0"/>
      </c:catAx>
      <c:valAx>
        <c:axId val="200900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0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Dashboard.xlsx]Department!PivotTable3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Departments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Department!$B$3</c:f>
              <c:strCache>
                <c:ptCount val="1"/>
                <c:pt idx="0">
                  <c:v>Count of Patient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Department!$A$4:$A$9</c:f>
              <c:strCache>
                <c:ptCount val="5"/>
                <c:pt idx="0">
                  <c:v>Cardiology</c:v>
                </c:pt>
                <c:pt idx="1">
                  <c:v>Endocrinology</c:v>
                </c:pt>
                <c:pt idx="2">
                  <c:v>General</c:v>
                </c:pt>
                <c:pt idx="3">
                  <c:v>Neurology</c:v>
                </c:pt>
                <c:pt idx="4">
                  <c:v>Pulmonology</c:v>
                </c:pt>
              </c:strCache>
            </c:strRef>
          </c:cat>
          <c:val>
            <c:numRef>
              <c:f>Department!$B$4:$B$9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77-427D-BFD9-B9665DB76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3402887"/>
        <c:axId val="993406471"/>
      </c:barChart>
      <c:lineChart>
        <c:grouping val="standard"/>
        <c:varyColors val="0"/>
        <c:ser>
          <c:idx val="1"/>
          <c:order val="1"/>
          <c:tx>
            <c:strRef>
              <c:f>Department!$C$3</c:f>
              <c:strCache>
                <c:ptCount val="1"/>
                <c:pt idx="0">
                  <c:v>Average of Length of Stay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Department!$A$4:$A$9</c:f>
              <c:strCache>
                <c:ptCount val="5"/>
                <c:pt idx="0">
                  <c:v>Cardiology</c:v>
                </c:pt>
                <c:pt idx="1">
                  <c:v>Endocrinology</c:v>
                </c:pt>
                <c:pt idx="2">
                  <c:v>General</c:v>
                </c:pt>
                <c:pt idx="3">
                  <c:v>Neurology</c:v>
                </c:pt>
                <c:pt idx="4">
                  <c:v>Pulmonology</c:v>
                </c:pt>
              </c:strCache>
            </c:strRef>
          </c:cat>
          <c:val>
            <c:numRef>
              <c:f>Department!$C$4:$C$9</c:f>
              <c:numCache>
                <c:formatCode>0</c:formatCode>
                <c:ptCount val="5"/>
                <c:pt idx="0">
                  <c:v>8.8571428571428577</c:v>
                </c:pt>
                <c:pt idx="1">
                  <c:v>6.8</c:v>
                </c:pt>
                <c:pt idx="2">
                  <c:v>2</c:v>
                </c:pt>
                <c:pt idx="3">
                  <c:v>14.5</c:v>
                </c:pt>
                <c:pt idx="4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77-427D-BFD9-B9665DB76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402887"/>
        <c:axId val="993406471"/>
      </c:lineChart>
      <c:catAx>
        <c:axId val="993402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06471"/>
        <c:crosses val="autoZero"/>
        <c:auto val="1"/>
        <c:lblAlgn val="ctr"/>
        <c:lblOffset val="100"/>
        <c:noMultiLvlLbl val="0"/>
      </c:catAx>
      <c:valAx>
        <c:axId val="993406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0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Dashboard.xlsx]Length Of Stay!PivotTable2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Length of stay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'Length Of Stay'!$B$3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'Length Of Stay'!$A$4:$A$11</c:f>
              <c:strCache>
                <c:ptCount val="7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Heart Disease</c:v>
                </c:pt>
                <c:pt idx="4">
                  <c:v>Hypertension</c:v>
                </c:pt>
                <c:pt idx="5">
                  <c:v>Infection</c:v>
                </c:pt>
                <c:pt idx="6">
                  <c:v>Stroke</c:v>
                </c:pt>
              </c:strCache>
            </c:strRef>
          </c:cat>
          <c:val>
            <c:numRef>
              <c:f>'Length Of Stay'!$B$4:$B$11</c:f>
              <c:numCache>
                <c:formatCode>0</c:formatCode>
                <c:ptCount val="7"/>
                <c:pt idx="0">
                  <c:v>2.75</c:v>
                </c:pt>
                <c:pt idx="1">
                  <c:v>6.8</c:v>
                </c:pt>
                <c:pt idx="2">
                  <c:v>1.8</c:v>
                </c:pt>
                <c:pt idx="3">
                  <c:v>11.5</c:v>
                </c:pt>
                <c:pt idx="4">
                  <c:v>7.8</c:v>
                </c:pt>
                <c:pt idx="5">
                  <c:v>2.5</c:v>
                </c:pt>
                <c:pt idx="6">
                  <c:v>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9-49C9-8407-F04451733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3850247"/>
        <c:axId val="1610637831"/>
      </c:barChart>
      <c:catAx>
        <c:axId val="1923850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37831"/>
        <c:crosses val="autoZero"/>
        <c:auto val="1"/>
        <c:lblAlgn val="ctr"/>
        <c:lblOffset val="100"/>
        <c:noMultiLvlLbl val="0"/>
      </c:catAx>
      <c:valAx>
        <c:axId val="1610637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50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Dashboard.xlsx]Disease!PivotTable1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Disease Distribution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Disease!$B$3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Disease!$A$4:$A$11</c:f>
              <c:strCache>
                <c:ptCount val="7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Heart Disease</c:v>
                </c:pt>
                <c:pt idx="4">
                  <c:v>Hypertension</c:v>
                </c:pt>
                <c:pt idx="5">
                  <c:v>Infection</c:v>
                </c:pt>
                <c:pt idx="6">
                  <c:v>Stroke</c:v>
                </c:pt>
              </c:strCache>
            </c:strRef>
          </c:cat>
          <c:val>
            <c:numRef>
              <c:f>Disease!$B$4:$B$11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D-4E30-98CE-1106B958B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002504"/>
        <c:axId val="2009004552"/>
      </c:barChart>
      <c:catAx>
        <c:axId val="200900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04552"/>
        <c:crosses val="autoZero"/>
        <c:auto val="1"/>
        <c:lblAlgn val="ctr"/>
        <c:lblOffset val="100"/>
        <c:noMultiLvlLbl val="0"/>
      </c:catAx>
      <c:valAx>
        <c:axId val="200900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0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Dashboard.xlsx]Department!PivotTable3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Departments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Department!$B$3</c:f>
              <c:strCache>
                <c:ptCount val="1"/>
                <c:pt idx="0">
                  <c:v>Count of Patient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Department!$A$4:$A$9</c:f>
              <c:strCache>
                <c:ptCount val="5"/>
                <c:pt idx="0">
                  <c:v>Cardiology</c:v>
                </c:pt>
                <c:pt idx="1">
                  <c:v>Endocrinology</c:v>
                </c:pt>
                <c:pt idx="2">
                  <c:v>General</c:v>
                </c:pt>
                <c:pt idx="3">
                  <c:v>Neurology</c:v>
                </c:pt>
                <c:pt idx="4">
                  <c:v>Pulmonology</c:v>
                </c:pt>
              </c:strCache>
            </c:strRef>
          </c:cat>
          <c:val>
            <c:numRef>
              <c:f>Department!$B$4:$B$9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F-428A-9668-973127C85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3402887"/>
        <c:axId val="993406471"/>
      </c:barChart>
      <c:lineChart>
        <c:grouping val="standard"/>
        <c:varyColors val="0"/>
        <c:ser>
          <c:idx val="1"/>
          <c:order val="1"/>
          <c:tx>
            <c:strRef>
              <c:f>Department!$C$3</c:f>
              <c:strCache>
                <c:ptCount val="1"/>
                <c:pt idx="0">
                  <c:v>Average of Length of Stay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Department!$A$4:$A$9</c:f>
              <c:strCache>
                <c:ptCount val="5"/>
                <c:pt idx="0">
                  <c:v>Cardiology</c:v>
                </c:pt>
                <c:pt idx="1">
                  <c:v>Endocrinology</c:v>
                </c:pt>
                <c:pt idx="2">
                  <c:v>General</c:v>
                </c:pt>
                <c:pt idx="3">
                  <c:v>Neurology</c:v>
                </c:pt>
                <c:pt idx="4">
                  <c:v>Pulmonology</c:v>
                </c:pt>
              </c:strCache>
            </c:strRef>
          </c:cat>
          <c:val>
            <c:numRef>
              <c:f>Department!$C$4:$C$9</c:f>
              <c:numCache>
                <c:formatCode>0</c:formatCode>
                <c:ptCount val="5"/>
                <c:pt idx="0">
                  <c:v>8.8571428571428577</c:v>
                </c:pt>
                <c:pt idx="1">
                  <c:v>6.8</c:v>
                </c:pt>
                <c:pt idx="2">
                  <c:v>2</c:v>
                </c:pt>
                <c:pt idx="3">
                  <c:v>14.5</c:v>
                </c:pt>
                <c:pt idx="4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F-428A-9668-973127C85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402887"/>
        <c:axId val="993406471"/>
      </c:lineChart>
      <c:catAx>
        <c:axId val="993402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06471"/>
        <c:crosses val="autoZero"/>
        <c:auto val="1"/>
        <c:lblAlgn val="ctr"/>
        <c:lblOffset val="100"/>
        <c:noMultiLvlLbl val="0"/>
      </c:catAx>
      <c:valAx>
        <c:axId val="993406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0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Dashboard.xlsx]Length Of Stay!PivotTable2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Avg Length of stay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'Length Of Stay'!$B$3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'Length Of Stay'!$A$4:$A$11</c:f>
              <c:strCache>
                <c:ptCount val="7"/>
                <c:pt idx="0">
                  <c:v>Asthma</c:v>
                </c:pt>
                <c:pt idx="1">
                  <c:v>Diabetes</c:v>
                </c:pt>
                <c:pt idx="2">
                  <c:v>Flu</c:v>
                </c:pt>
                <c:pt idx="3">
                  <c:v>Heart Disease</c:v>
                </c:pt>
                <c:pt idx="4">
                  <c:v>Hypertension</c:v>
                </c:pt>
                <c:pt idx="5">
                  <c:v>Infection</c:v>
                </c:pt>
                <c:pt idx="6">
                  <c:v>Stroke</c:v>
                </c:pt>
              </c:strCache>
            </c:strRef>
          </c:cat>
          <c:val>
            <c:numRef>
              <c:f>'Length Of Stay'!$B$4:$B$11</c:f>
              <c:numCache>
                <c:formatCode>0</c:formatCode>
                <c:ptCount val="7"/>
                <c:pt idx="0">
                  <c:v>2.75</c:v>
                </c:pt>
                <c:pt idx="1">
                  <c:v>6.8</c:v>
                </c:pt>
                <c:pt idx="2">
                  <c:v>1.8</c:v>
                </c:pt>
                <c:pt idx="3">
                  <c:v>11.5</c:v>
                </c:pt>
                <c:pt idx="4">
                  <c:v>7.8</c:v>
                </c:pt>
                <c:pt idx="5">
                  <c:v>2.5</c:v>
                </c:pt>
                <c:pt idx="6">
                  <c:v>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7-4895-851E-4BC89C1B9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3850247"/>
        <c:axId val="1610637831"/>
      </c:barChart>
      <c:catAx>
        <c:axId val="1923850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37831"/>
        <c:crosses val="autoZero"/>
        <c:auto val="1"/>
        <c:lblAlgn val="ctr"/>
        <c:lblOffset val="100"/>
        <c:noMultiLvlLbl val="0"/>
      </c:catAx>
      <c:valAx>
        <c:axId val="1610637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50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133350</xdr:rowOff>
    </xdr:from>
    <xdr:to>
      <xdr:col>10</xdr:col>
      <xdr:colOff>0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0179F-0FFA-490B-A659-6B86A3599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171450</xdr:rowOff>
    </xdr:from>
    <xdr:to>
      <xdr:col>9</xdr:col>
      <xdr:colOff>600075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7B6FF-4B62-94E9-BA79-5E671506F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180975</xdr:rowOff>
    </xdr:from>
    <xdr:to>
      <xdr:col>10</xdr:col>
      <xdr:colOff>600075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5E7A5-CD97-A66D-4471-0AC276857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3</xdr:row>
      <xdr:rowOff>0</xdr:rowOff>
    </xdr:from>
    <xdr:to>
      <xdr:col>9</xdr:col>
      <xdr:colOff>590550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488F6-6507-470D-B82D-3193FD887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17</xdr:row>
      <xdr:rowOff>180975</xdr:rowOff>
    </xdr:from>
    <xdr:to>
      <xdr:col>16</xdr:col>
      <xdr:colOff>590550</xdr:colOff>
      <xdr:row>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1C7BBE-64BF-41CC-9893-6494771433E9}"/>
            </a:ext>
            <a:ext uri="{147F2762-F138-4A5C-976F-8EAC2B608ADB}">
              <a16:predDERef xmlns:a16="http://schemas.microsoft.com/office/drawing/2014/main" pred="{577488F6-6507-470D-B82D-3193FD887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</xdr:colOff>
      <xdr:row>3</xdr:row>
      <xdr:rowOff>0</xdr:rowOff>
    </xdr:from>
    <xdr:to>
      <xdr:col>16</xdr:col>
      <xdr:colOff>600075</xdr:colOff>
      <xdr:row>16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29E6B8-78F8-4F14-87E4-B2574DC6BC96}"/>
            </a:ext>
            <a:ext uri="{147F2762-F138-4A5C-976F-8EAC2B608ADB}">
              <a16:predDERef xmlns:a16="http://schemas.microsoft.com/office/drawing/2014/main" pred="{341C7BBE-64BF-41CC-9893-649477143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609600</xdr:colOff>
      <xdr:row>7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Gender">
              <a:extLst>
                <a:ext uri="{FF2B5EF4-FFF2-40B4-BE49-F238E27FC236}">
                  <a16:creationId xmlns:a16="http://schemas.microsoft.com/office/drawing/2014/main" id="{342B3DCF-54FF-AA32-2A74-AF3980D1B064}"/>
                </a:ext>
                <a:ext uri="{147F2762-F138-4A5C-976F-8EAC2B608ADB}">
                  <a16:predDERef xmlns:a16="http://schemas.microsoft.com/office/drawing/2014/main" pred="{9B29E6B8-78F8-4F14-87E4-B2574DC6BC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800" y="638175"/>
              <a:ext cx="1466850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18</xdr:col>
      <xdr:colOff>0</xdr:colOff>
      <xdr:row>10</xdr:row>
      <xdr:rowOff>0</xdr:rowOff>
    </xdr:from>
    <xdr:to>
      <xdr:col>19</xdr:col>
      <xdr:colOff>609600</xdr:colOff>
      <xdr:row>17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Department">
              <a:extLst>
                <a:ext uri="{FF2B5EF4-FFF2-40B4-BE49-F238E27FC236}">
                  <a16:creationId xmlns:a16="http://schemas.microsoft.com/office/drawing/2014/main" id="{F571CF39-CDBB-DFCE-86AD-B5340C1409BC}"/>
                </a:ext>
                <a:ext uri="{147F2762-F138-4A5C-976F-8EAC2B608ADB}">
                  <a16:predDERef xmlns:a16="http://schemas.microsoft.com/office/drawing/2014/main" pred="{342B3DCF-54FF-AA32-2A74-AF3980D1B0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800" y="1971675"/>
              <a:ext cx="146685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590550</xdr:colOff>
      <xdr:row>33</xdr:row>
      <xdr:rowOff>9525</xdr:rowOff>
    </xdr:from>
    <xdr:to>
      <xdr:col>16</xdr:col>
      <xdr:colOff>581025</xdr:colOff>
      <xdr:row>40</xdr:row>
      <xdr:rowOff>9525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B8756AB-B6B0-7F11-F315-5BEACB2E3FC5}"/>
            </a:ext>
            <a:ext uri="{147F2762-F138-4A5C-976F-8EAC2B608ADB}">
              <a16:predDERef xmlns:a16="http://schemas.microsoft.com/office/drawing/2014/main" pred="{F571CF39-CDBB-DFCE-86AD-B5340C1409BC}"/>
            </a:ext>
          </a:extLst>
        </xdr:cNvPr>
        <xdr:cNvSpPr txBox="1"/>
      </xdr:nvSpPr>
      <xdr:spPr>
        <a:xfrm>
          <a:off x="2419350" y="6343650"/>
          <a:ext cx="7915275" cy="133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- Stroke patients have the longest hospital stays, indicating the most severe cases.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- Flu cases are frequent but have the shortest hospital stays, suggesting mild conditions.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- Cardiology shows both high patient volume and long stays, indicating high workload.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- Departments differ not only in patient count but also in case complexity.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9.169830092593" createdVersion="8" refreshedVersion="8" minRefreshableVersion="3" recordCount="25" xr:uid="{4A130844-42AA-44D0-A5EE-8CC2F3B1C81B}">
  <cacheSource type="worksheet">
    <worksheetSource ref="A1:G26" sheet="Main Data"/>
  </cacheSource>
  <cacheFields count="7">
    <cacheField name="Patient ID" numFmtId="0">
      <sharedItems containsSemiMixedTypes="0" containsString="0" containsNumber="1" containsInteger="1" minValue="1" maxValue="25"/>
    </cacheField>
    <cacheField name="Age" numFmtId="0">
      <sharedItems containsSemiMixedTypes="0" containsString="0" containsNumber="1" containsInteger="1" minValue="22" maxValue="70"/>
    </cacheField>
    <cacheField name="Gender" numFmtId="0">
      <sharedItems count="2">
        <s v="Male"/>
        <s v="Female"/>
      </sharedItems>
    </cacheField>
    <cacheField name="Disease" numFmtId="0">
      <sharedItems count="7">
        <s v="Diabetes"/>
        <s v="Asthma"/>
        <s v="Hypertension"/>
        <s v="Flu"/>
        <s v="Heart Disease"/>
        <s v="Infection"/>
        <s v="Stroke"/>
      </sharedItems>
    </cacheField>
    <cacheField name="Department" numFmtId="0">
      <sharedItems count="5">
        <s v="Endocrinology"/>
        <s v="Pulmonology"/>
        <s v="Cardiology"/>
        <s v="General"/>
        <s v="Neurology"/>
      </sharedItems>
    </cacheField>
    <cacheField name="Admission Date" numFmtId="14">
      <sharedItems containsSemiMixedTypes="0" containsNonDate="0" containsDate="1" containsString="0" minDate="2025-01-10T00:00:00" maxDate="2025-03-11T00:00:00"/>
    </cacheField>
    <cacheField name="Length of Stay" numFmtId="0">
      <sharedItems containsSemiMixedTypes="0" containsString="0" containsNumber="1" containsInteger="1" minValue="1" maxValue="15"/>
    </cacheField>
  </cacheFields>
  <extLst>
    <ext xmlns:x14="http://schemas.microsoft.com/office/spreadsheetml/2009/9/main" uri="{725AE2AE-9491-48be-B2B4-4EB974FC3084}">
      <x14:pivotCacheDefinition pivotCacheId="10637174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n v="45"/>
    <x v="0"/>
    <x v="0"/>
    <x v="0"/>
    <d v="2025-01-10T00:00:00"/>
    <n v="5"/>
  </r>
  <r>
    <n v="2"/>
    <n v="30"/>
    <x v="1"/>
    <x v="1"/>
    <x v="1"/>
    <d v="2025-02-12T00:00:00"/>
    <n v="2"/>
  </r>
  <r>
    <n v="3"/>
    <n v="60"/>
    <x v="0"/>
    <x v="2"/>
    <x v="2"/>
    <d v="2025-01-15T00:00:00"/>
    <n v="9"/>
  </r>
  <r>
    <n v="4"/>
    <n v="25"/>
    <x v="1"/>
    <x v="3"/>
    <x v="3"/>
    <d v="2025-03-01T00:00:00"/>
    <n v="1"/>
  </r>
  <r>
    <n v="5"/>
    <n v="50"/>
    <x v="0"/>
    <x v="0"/>
    <x v="0"/>
    <d v="2025-02-20T00:00:00"/>
    <n v="6"/>
  </r>
  <r>
    <n v="6"/>
    <n v="35"/>
    <x v="1"/>
    <x v="2"/>
    <x v="2"/>
    <d v="2025-01-25T00:00:00"/>
    <n v="7"/>
  </r>
  <r>
    <n v="7"/>
    <n v="40"/>
    <x v="0"/>
    <x v="1"/>
    <x v="1"/>
    <d v="2025-03-05T00:00:00"/>
    <n v="3"/>
  </r>
  <r>
    <n v="8"/>
    <n v="29"/>
    <x v="1"/>
    <x v="3"/>
    <x v="3"/>
    <d v="2025-02-10T00:00:00"/>
    <n v="1"/>
  </r>
  <r>
    <n v="9"/>
    <n v="55"/>
    <x v="0"/>
    <x v="0"/>
    <x v="0"/>
    <d v="2025-01-18T00:00:00"/>
    <n v="8"/>
  </r>
  <r>
    <n v="10"/>
    <n v="48"/>
    <x v="1"/>
    <x v="2"/>
    <x v="2"/>
    <d v="2025-03-02T00:00:00"/>
    <n v="6"/>
  </r>
  <r>
    <n v="11"/>
    <n v="33"/>
    <x v="0"/>
    <x v="3"/>
    <x v="3"/>
    <d v="2025-02-28T00:00:00"/>
    <n v="2"/>
  </r>
  <r>
    <n v="12"/>
    <n v="62"/>
    <x v="1"/>
    <x v="0"/>
    <x v="0"/>
    <d v="2025-01-12T00:00:00"/>
    <n v="10"/>
  </r>
  <r>
    <n v="13"/>
    <n v="27"/>
    <x v="0"/>
    <x v="1"/>
    <x v="1"/>
    <d v="2025-03-07T00:00:00"/>
    <n v="2"/>
  </r>
  <r>
    <n v="14"/>
    <n v="52"/>
    <x v="1"/>
    <x v="2"/>
    <x v="2"/>
    <d v="2025-02-14T00:00:00"/>
    <n v="8"/>
  </r>
  <r>
    <n v="15"/>
    <n v="38"/>
    <x v="0"/>
    <x v="3"/>
    <x v="3"/>
    <d v="2025-01-30T00:00:00"/>
    <n v="3"/>
  </r>
  <r>
    <n v="16"/>
    <n v="70"/>
    <x v="0"/>
    <x v="4"/>
    <x v="2"/>
    <d v="2025-01-22T00:00:00"/>
    <n v="12"/>
  </r>
  <r>
    <n v="17"/>
    <n v="22"/>
    <x v="1"/>
    <x v="5"/>
    <x v="3"/>
    <d v="2025-03-03T00:00:00"/>
    <n v="2"/>
  </r>
  <r>
    <n v="18"/>
    <n v="65"/>
    <x v="0"/>
    <x v="6"/>
    <x v="4"/>
    <d v="2025-02-18T00:00:00"/>
    <n v="15"/>
  </r>
  <r>
    <n v="19"/>
    <n v="41"/>
    <x v="1"/>
    <x v="0"/>
    <x v="0"/>
    <d v="2025-02-25T00:00:00"/>
    <n v="5"/>
  </r>
  <r>
    <n v="20"/>
    <n v="36"/>
    <x v="0"/>
    <x v="1"/>
    <x v="1"/>
    <d v="2025-03-10T00:00:00"/>
    <n v="4"/>
  </r>
  <r>
    <n v="21"/>
    <n v="58"/>
    <x v="1"/>
    <x v="2"/>
    <x v="2"/>
    <d v="2025-01-28T00:00:00"/>
    <n v="9"/>
  </r>
  <r>
    <n v="22"/>
    <n v="47"/>
    <x v="0"/>
    <x v="4"/>
    <x v="2"/>
    <d v="2025-02-11T00:00:00"/>
    <n v="11"/>
  </r>
  <r>
    <n v="23"/>
    <n v="31"/>
    <x v="1"/>
    <x v="5"/>
    <x v="3"/>
    <d v="2025-03-06T00:00:00"/>
    <n v="3"/>
  </r>
  <r>
    <n v="24"/>
    <n v="66"/>
    <x v="0"/>
    <x v="6"/>
    <x v="4"/>
    <d v="2025-02-20T00:00:00"/>
    <n v="14"/>
  </r>
  <r>
    <n v="25"/>
    <n v="28"/>
    <x v="1"/>
    <x v="3"/>
    <x v="3"/>
    <d v="2025-01-17T00:00:0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B6EB6-74A2-4BC2-9A41-75A3357A5360}" name="PivotTable1" cacheId="32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1" firstHeaderRow="1" firstDataRow="1" firstDataCol="1"/>
  <pivotFields count="7">
    <pivotField dataField="1"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8">
        <item x="1"/>
        <item x="0"/>
        <item x="3"/>
        <item x="4"/>
        <item x="2"/>
        <item x="5"/>
        <item x="6"/>
        <item t="default"/>
      </items>
    </pivotField>
    <pivotField compact="0" outline="0" showAll="0">
      <items count="6">
        <item x="2"/>
        <item x="0"/>
        <item x="3"/>
        <item x="4"/>
        <item x="1"/>
        <item t="default"/>
      </items>
    </pivotField>
    <pivotField compact="0" numFmtId="14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atient 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32D04-7649-41D5-B95D-F1A95D511F3B}" name="PivotTable3" cacheId="32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9" firstHeaderRow="0" firstDataRow="1" firstDataCol="1"/>
  <pivotFields count="7">
    <pivotField dataField="1"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6">
        <item x="2"/>
        <item x="0"/>
        <item x="3"/>
        <item x="4"/>
        <item x="1"/>
        <item t="default"/>
      </items>
    </pivotField>
    <pivotField compact="0" numFmtId="14" outline="0" showAll="0"/>
    <pivotField dataField="1"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tient ID" fld="0" subtotal="count" baseField="0" baseItem="0"/>
    <dataField name="Average of Length of Stay" fld="6" subtotal="average" baseField="0" baseItem="0" numFmtId="1"/>
  </dataFields>
  <formats count="1">
    <format dxfId="2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3B598-E2AA-4DF8-B21A-535534CE9AD1}" name="PivotTable2" cacheId="32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7"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8">
        <item x="1"/>
        <item x="0"/>
        <item x="3"/>
        <item x="4"/>
        <item x="2"/>
        <item x="5"/>
        <item x="6"/>
        <item t="default"/>
      </items>
    </pivotField>
    <pivotField compact="0" outline="0" showAll="0">
      <items count="6">
        <item x="2"/>
        <item x="0"/>
        <item x="3"/>
        <item x="4"/>
        <item x="1"/>
        <item t="default"/>
      </items>
    </pivotField>
    <pivotField compact="0" numFmtId="14" outline="0" showAll="0"/>
    <pivotField dataField="1"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Length of Stay" fld="6" subtotal="average" baseField="0" baseItem="0"/>
  </dataFields>
  <formats count="2">
    <format dxfId="0">
      <pivotArea outline="0" fieldPosition="0">
        <references count="1">
          <reference field="3" count="0" selected="0"/>
        </references>
      </pivotArea>
    </format>
    <format dxfId="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1F760-5CF2-4FDE-B9A0-61AAF0D08981}" name="PivotTable1" cacheId="32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S397:T405" firstHeaderRow="1" firstDataRow="1" firstDataCol="1"/>
  <pivotFields count="7">
    <pivotField dataField="1"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8">
        <item x="1"/>
        <item x="0"/>
        <item x="3"/>
        <item x="4"/>
        <item x="2"/>
        <item x="5"/>
        <item x="6"/>
        <item t="default"/>
      </items>
    </pivotField>
    <pivotField compact="0" outline="0" showAll="0">
      <items count="6">
        <item x="2"/>
        <item x="0"/>
        <item x="3"/>
        <item x="4"/>
        <item x="1"/>
        <item t="default"/>
      </items>
    </pivotField>
    <pivotField compact="0" numFmtId="14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atient 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43649209-F60C-4702-A540-0D87EC14A067}" sourceName="Gender">
  <pivotTables>
    <pivotTable tabId="6" name="PivotTable1"/>
    <pivotTable tabId="3" name="PivotTable1"/>
    <pivotTable tabId="5" name="PivotTable3"/>
    <pivotTable tabId="4" name="PivotTable2"/>
  </pivotTables>
  <data>
    <tabular pivotCacheId="1063717489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FCC1DE84-051E-4BEA-8D6D-F3F4E3A94059}" sourceName="Department">
  <pivotTables>
    <pivotTable tabId="6" name="PivotTable1"/>
    <pivotTable tabId="3" name="PivotTable1"/>
    <pivotTable tabId="5" name="PivotTable3"/>
    <pivotTable tabId="4" name="PivotTable2"/>
  </pivotTables>
  <data>
    <tabular pivotCacheId="1063717489">
      <items count="5">
        <i x="2" s="1"/>
        <i x="0" s="1"/>
        <i x="3" s="1"/>
        <i x="4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D81BC6A6-34F6-43BE-9087-4515098543E6}" cache="Slicer_Gender" caption="Gender" rowHeight="228600"/>
  <slicer name="Department" xr10:uid="{1EC862AB-CF79-42ED-85B0-5EFF8C5BACB8}" cache="Slicer_Department" caption="Department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/>
  </sheetViews>
  <sheetFormatPr defaultRowHeight="15"/>
  <cols>
    <col min="1" max="1" width="9.85546875" style="2" customWidth="1"/>
    <col min="2" max="2" width="9.140625" style="2"/>
    <col min="4" max="4" width="15.85546875" style="2" customWidth="1"/>
    <col min="5" max="5" width="14.7109375" customWidth="1"/>
    <col min="6" max="6" width="16.42578125" customWidth="1"/>
    <col min="7" max="7" width="13.28515625" style="2" customWidth="1"/>
  </cols>
  <sheetData>
    <row r="1" spans="1:7" s="7" customForma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3">
        <v>1</v>
      </c>
      <c r="B2" s="2">
        <v>45</v>
      </c>
      <c r="C2" t="s">
        <v>7</v>
      </c>
      <c r="D2" s="6" t="s">
        <v>8</v>
      </c>
      <c r="E2" t="s">
        <v>9</v>
      </c>
      <c r="F2" s="1">
        <v>45667</v>
      </c>
      <c r="G2" s="2">
        <v>5</v>
      </c>
    </row>
    <row r="3" spans="1:7">
      <c r="A3" s="3">
        <v>2</v>
      </c>
      <c r="B3" s="2">
        <v>30</v>
      </c>
      <c r="C3" t="s">
        <v>10</v>
      </c>
      <c r="D3" s="6" t="s">
        <v>11</v>
      </c>
      <c r="E3" t="s">
        <v>12</v>
      </c>
      <c r="F3" s="1">
        <v>45700</v>
      </c>
      <c r="G3" s="2">
        <v>2</v>
      </c>
    </row>
    <row r="4" spans="1:7">
      <c r="A4" s="3">
        <v>3</v>
      </c>
      <c r="B4" s="2">
        <v>60</v>
      </c>
      <c r="C4" t="s">
        <v>7</v>
      </c>
      <c r="D4" s="6" t="s">
        <v>13</v>
      </c>
      <c r="E4" t="s">
        <v>14</v>
      </c>
      <c r="F4" s="1">
        <v>45672</v>
      </c>
      <c r="G4" s="2">
        <v>9</v>
      </c>
    </row>
    <row r="5" spans="1:7">
      <c r="A5" s="3">
        <v>4</v>
      </c>
      <c r="B5" s="2">
        <v>25</v>
      </c>
      <c r="C5" t="s">
        <v>10</v>
      </c>
      <c r="D5" s="6" t="s">
        <v>15</v>
      </c>
      <c r="E5" t="s">
        <v>16</v>
      </c>
      <c r="F5" s="1">
        <v>45717</v>
      </c>
      <c r="G5" s="2">
        <v>1</v>
      </c>
    </row>
    <row r="6" spans="1:7">
      <c r="A6" s="3">
        <v>5</v>
      </c>
      <c r="B6" s="2">
        <v>50</v>
      </c>
      <c r="C6" t="s">
        <v>7</v>
      </c>
      <c r="D6" s="6" t="s">
        <v>8</v>
      </c>
      <c r="E6" t="s">
        <v>9</v>
      </c>
      <c r="F6" s="1">
        <v>45708</v>
      </c>
      <c r="G6" s="2">
        <v>6</v>
      </c>
    </row>
    <row r="7" spans="1:7">
      <c r="A7" s="3">
        <v>6</v>
      </c>
      <c r="B7" s="2">
        <v>35</v>
      </c>
      <c r="C7" t="s">
        <v>10</v>
      </c>
      <c r="D7" s="6" t="s">
        <v>13</v>
      </c>
      <c r="E7" t="s">
        <v>14</v>
      </c>
      <c r="F7" s="1">
        <v>45682</v>
      </c>
      <c r="G7" s="2">
        <v>7</v>
      </c>
    </row>
    <row r="8" spans="1:7">
      <c r="A8" s="3">
        <v>7</v>
      </c>
      <c r="B8" s="2">
        <v>40</v>
      </c>
      <c r="C8" t="s">
        <v>7</v>
      </c>
      <c r="D8" s="6" t="s">
        <v>11</v>
      </c>
      <c r="E8" t="s">
        <v>12</v>
      </c>
      <c r="F8" s="1">
        <v>45721</v>
      </c>
      <c r="G8" s="2">
        <v>3</v>
      </c>
    </row>
    <row r="9" spans="1:7">
      <c r="A9" s="3">
        <v>8</v>
      </c>
      <c r="B9" s="2">
        <v>29</v>
      </c>
      <c r="C9" t="s">
        <v>10</v>
      </c>
      <c r="D9" s="6" t="s">
        <v>15</v>
      </c>
      <c r="E9" t="s">
        <v>16</v>
      </c>
      <c r="F9" s="1">
        <v>45698</v>
      </c>
      <c r="G9" s="2">
        <v>1</v>
      </c>
    </row>
    <row r="10" spans="1:7">
      <c r="A10" s="3">
        <v>9</v>
      </c>
      <c r="B10" s="2">
        <v>55</v>
      </c>
      <c r="C10" t="s">
        <v>7</v>
      </c>
      <c r="D10" s="6" t="s">
        <v>8</v>
      </c>
      <c r="E10" t="s">
        <v>9</v>
      </c>
      <c r="F10" s="1">
        <v>45675</v>
      </c>
      <c r="G10" s="2">
        <v>8</v>
      </c>
    </row>
    <row r="11" spans="1:7">
      <c r="A11" s="3">
        <v>10</v>
      </c>
      <c r="B11" s="2">
        <v>48</v>
      </c>
      <c r="C11" t="s">
        <v>10</v>
      </c>
      <c r="D11" s="6" t="s">
        <v>13</v>
      </c>
      <c r="E11" t="s">
        <v>14</v>
      </c>
      <c r="F11" s="1">
        <v>45718</v>
      </c>
      <c r="G11" s="2">
        <v>6</v>
      </c>
    </row>
    <row r="12" spans="1:7">
      <c r="A12" s="3">
        <v>11</v>
      </c>
      <c r="B12" s="2">
        <v>33</v>
      </c>
      <c r="C12" t="s">
        <v>7</v>
      </c>
      <c r="D12" s="6" t="s">
        <v>15</v>
      </c>
      <c r="E12" t="s">
        <v>16</v>
      </c>
      <c r="F12" s="1">
        <v>45716</v>
      </c>
      <c r="G12" s="2">
        <v>2</v>
      </c>
    </row>
    <row r="13" spans="1:7">
      <c r="A13" s="3">
        <v>12</v>
      </c>
      <c r="B13" s="2">
        <v>62</v>
      </c>
      <c r="C13" t="s">
        <v>10</v>
      </c>
      <c r="D13" s="6" t="s">
        <v>8</v>
      </c>
      <c r="E13" t="s">
        <v>9</v>
      </c>
      <c r="F13" s="1">
        <v>45669</v>
      </c>
      <c r="G13" s="2">
        <v>10</v>
      </c>
    </row>
    <row r="14" spans="1:7">
      <c r="A14" s="3">
        <v>13</v>
      </c>
      <c r="B14" s="2">
        <v>27</v>
      </c>
      <c r="C14" t="s">
        <v>7</v>
      </c>
      <c r="D14" s="6" t="s">
        <v>11</v>
      </c>
      <c r="E14" t="s">
        <v>12</v>
      </c>
      <c r="F14" s="1">
        <v>45723</v>
      </c>
      <c r="G14" s="2">
        <v>2</v>
      </c>
    </row>
    <row r="15" spans="1:7">
      <c r="A15" s="3">
        <v>14</v>
      </c>
      <c r="B15" s="2">
        <v>52</v>
      </c>
      <c r="C15" t="s">
        <v>10</v>
      </c>
      <c r="D15" s="6" t="s">
        <v>13</v>
      </c>
      <c r="E15" t="s">
        <v>14</v>
      </c>
      <c r="F15" s="1">
        <v>45702</v>
      </c>
      <c r="G15" s="2">
        <v>8</v>
      </c>
    </row>
    <row r="16" spans="1:7">
      <c r="A16" s="3">
        <v>15</v>
      </c>
      <c r="B16" s="2">
        <v>38</v>
      </c>
      <c r="C16" t="s">
        <v>7</v>
      </c>
      <c r="D16" s="6" t="s">
        <v>15</v>
      </c>
      <c r="E16" t="s">
        <v>16</v>
      </c>
      <c r="F16" s="1">
        <v>45687</v>
      </c>
      <c r="G16" s="2">
        <v>3</v>
      </c>
    </row>
    <row r="17" spans="1:7">
      <c r="A17" s="3">
        <v>16</v>
      </c>
      <c r="B17" s="2">
        <v>70</v>
      </c>
      <c r="C17" t="s">
        <v>7</v>
      </c>
      <c r="D17" s="6" t="s">
        <v>17</v>
      </c>
      <c r="E17" t="s">
        <v>14</v>
      </c>
      <c r="F17" s="1">
        <v>45679</v>
      </c>
      <c r="G17" s="2">
        <v>12</v>
      </c>
    </row>
    <row r="18" spans="1:7">
      <c r="A18" s="3">
        <v>17</v>
      </c>
      <c r="B18" s="2">
        <v>22</v>
      </c>
      <c r="C18" t="s">
        <v>10</v>
      </c>
      <c r="D18" s="6" t="s">
        <v>18</v>
      </c>
      <c r="E18" t="s">
        <v>16</v>
      </c>
      <c r="F18" s="1">
        <v>45719</v>
      </c>
      <c r="G18" s="2">
        <v>2</v>
      </c>
    </row>
    <row r="19" spans="1:7">
      <c r="A19" s="3">
        <v>18</v>
      </c>
      <c r="B19" s="2">
        <v>65</v>
      </c>
      <c r="C19" t="s">
        <v>7</v>
      </c>
      <c r="D19" s="6" t="s">
        <v>19</v>
      </c>
      <c r="E19" t="s">
        <v>20</v>
      </c>
      <c r="F19" s="1">
        <v>45706</v>
      </c>
      <c r="G19" s="2">
        <v>15</v>
      </c>
    </row>
    <row r="20" spans="1:7">
      <c r="A20" s="3">
        <v>19</v>
      </c>
      <c r="B20" s="2">
        <v>41</v>
      </c>
      <c r="C20" t="s">
        <v>10</v>
      </c>
      <c r="D20" s="6" t="s">
        <v>8</v>
      </c>
      <c r="E20" t="s">
        <v>9</v>
      </c>
      <c r="F20" s="1">
        <v>45713</v>
      </c>
      <c r="G20" s="2">
        <v>5</v>
      </c>
    </row>
    <row r="21" spans="1:7">
      <c r="A21" s="3">
        <v>20</v>
      </c>
      <c r="B21" s="2">
        <v>36</v>
      </c>
      <c r="C21" t="s">
        <v>7</v>
      </c>
      <c r="D21" s="6" t="s">
        <v>11</v>
      </c>
      <c r="E21" t="s">
        <v>12</v>
      </c>
      <c r="F21" s="1">
        <v>45726</v>
      </c>
      <c r="G21" s="2">
        <v>4</v>
      </c>
    </row>
    <row r="22" spans="1:7">
      <c r="A22" s="3">
        <v>21</v>
      </c>
      <c r="B22" s="2">
        <v>58</v>
      </c>
      <c r="C22" t="s">
        <v>10</v>
      </c>
      <c r="D22" s="6" t="s">
        <v>13</v>
      </c>
      <c r="E22" t="s">
        <v>14</v>
      </c>
      <c r="F22" s="1">
        <v>45685</v>
      </c>
      <c r="G22" s="2">
        <v>9</v>
      </c>
    </row>
    <row r="23" spans="1:7">
      <c r="A23" s="3">
        <v>22</v>
      </c>
      <c r="B23" s="2">
        <v>47</v>
      </c>
      <c r="C23" t="s">
        <v>7</v>
      </c>
      <c r="D23" s="6" t="s">
        <v>17</v>
      </c>
      <c r="E23" t="s">
        <v>14</v>
      </c>
      <c r="F23" s="1">
        <v>45699</v>
      </c>
      <c r="G23" s="2">
        <v>11</v>
      </c>
    </row>
    <row r="24" spans="1:7">
      <c r="A24" s="3">
        <v>23</v>
      </c>
      <c r="B24" s="2">
        <v>31</v>
      </c>
      <c r="C24" t="s">
        <v>10</v>
      </c>
      <c r="D24" s="6" t="s">
        <v>18</v>
      </c>
      <c r="E24" t="s">
        <v>16</v>
      </c>
      <c r="F24" s="1">
        <v>45722</v>
      </c>
      <c r="G24" s="2">
        <v>3</v>
      </c>
    </row>
    <row r="25" spans="1:7">
      <c r="A25" s="3">
        <v>24</v>
      </c>
      <c r="B25" s="2">
        <v>66</v>
      </c>
      <c r="C25" t="s">
        <v>7</v>
      </c>
      <c r="D25" s="6" t="s">
        <v>19</v>
      </c>
      <c r="E25" t="s">
        <v>20</v>
      </c>
      <c r="F25" s="1">
        <v>45708</v>
      </c>
      <c r="G25" s="2">
        <v>14</v>
      </c>
    </row>
    <row r="26" spans="1:7">
      <c r="A26" s="3">
        <v>25</v>
      </c>
      <c r="B26" s="2">
        <v>28</v>
      </c>
      <c r="C26" t="s">
        <v>10</v>
      </c>
      <c r="D26" s="6" t="s">
        <v>15</v>
      </c>
      <c r="E26" t="s">
        <v>16</v>
      </c>
      <c r="F26" s="1">
        <v>45674</v>
      </c>
      <c r="G26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D90C-CFD4-4C04-BE0C-4194B6FDA52A}">
  <dimension ref="A3:B11"/>
  <sheetViews>
    <sheetView workbookViewId="0">
      <selection activeCell="E21" sqref="E21"/>
    </sheetView>
  </sheetViews>
  <sheetFormatPr defaultRowHeight="15"/>
  <cols>
    <col min="1" max="1" width="12.85546875" bestFit="1" customWidth="1"/>
    <col min="2" max="2" width="17.85546875" bestFit="1" customWidth="1"/>
  </cols>
  <sheetData>
    <row r="3" spans="1:2">
      <c r="A3" s="8" t="s">
        <v>3</v>
      </c>
      <c r="B3" t="s">
        <v>21</v>
      </c>
    </row>
    <row r="4" spans="1:2">
      <c r="A4" t="s">
        <v>11</v>
      </c>
      <c r="B4" s="9">
        <v>4</v>
      </c>
    </row>
    <row r="5" spans="1:2">
      <c r="A5" t="s">
        <v>8</v>
      </c>
      <c r="B5" s="9">
        <v>5</v>
      </c>
    </row>
    <row r="6" spans="1:2">
      <c r="A6" t="s">
        <v>15</v>
      </c>
      <c r="B6" s="9">
        <v>5</v>
      </c>
    </row>
    <row r="7" spans="1:2">
      <c r="A7" t="s">
        <v>17</v>
      </c>
      <c r="B7" s="9">
        <v>2</v>
      </c>
    </row>
    <row r="8" spans="1:2">
      <c r="A8" t="s">
        <v>13</v>
      </c>
      <c r="B8" s="9">
        <v>5</v>
      </c>
    </row>
    <row r="9" spans="1:2">
      <c r="A9" t="s">
        <v>18</v>
      </c>
      <c r="B9" s="9">
        <v>2</v>
      </c>
    </row>
    <row r="10" spans="1:2">
      <c r="A10" t="s">
        <v>19</v>
      </c>
      <c r="B10" s="9">
        <v>2</v>
      </c>
    </row>
    <row r="11" spans="1:2">
      <c r="A11" t="s">
        <v>22</v>
      </c>
      <c r="B11" s="9">
        <v>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7091-0D18-4F35-9026-15FC59211F1C}">
  <dimension ref="A3:C9"/>
  <sheetViews>
    <sheetView workbookViewId="0">
      <selection activeCell="E32" sqref="E32"/>
    </sheetView>
  </sheetViews>
  <sheetFormatPr defaultRowHeight="15"/>
  <cols>
    <col min="1" max="1" width="14.85546875" bestFit="1" customWidth="1"/>
    <col min="2" max="2" width="17.85546875" bestFit="1" customWidth="1"/>
    <col min="3" max="3" width="23.5703125" bestFit="1" customWidth="1"/>
  </cols>
  <sheetData>
    <row r="3" spans="1:3">
      <c r="A3" s="8" t="s">
        <v>4</v>
      </c>
      <c r="B3" t="s">
        <v>21</v>
      </c>
      <c r="C3" t="s">
        <v>23</v>
      </c>
    </row>
    <row r="4" spans="1:3">
      <c r="A4" t="s">
        <v>14</v>
      </c>
      <c r="B4" s="9">
        <v>7</v>
      </c>
      <c r="C4" s="10">
        <v>8.8571428571428577</v>
      </c>
    </row>
    <row r="5" spans="1:3">
      <c r="A5" t="s">
        <v>9</v>
      </c>
      <c r="B5" s="9">
        <v>5</v>
      </c>
      <c r="C5" s="10">
        <v>6.8</v>
      </c>
    </row>
    <row r="6" spans="1:3">
      <c r="A6" t="s">
        <v>16</v>
      </c>
      <c r="B6" s="9">
        <v>7</v>
      </c>
      <c r="C6" s="10">
        <v>2</v>
      </c>
    </row>
    <row r="7" spans="1:3">
      <c r="A7" t="s">
        <v>20</v>
      </c>
      <c r="B7" s="9">
        <v>2</v>
      </c>
      <c r="C7" s="10">
        <v>14.5</v>
      </c>
    </row>
    <row r="8" spans="1:3">
      <c r="A8" t="s">
        <v>12</v>
      </c>
      <c r="B8" s="9">
        <v>4</v>
      </c>
      <c r="C8" s="10">
        <v>2.75</v>
      </c>
    </row>
    <row r="9" spans="1:3">
      <c r="A9" t="s">
        <v>22</v>
      </c>
      <c r="B9" s="9">
        <v>25</v>
      </c>
      <c r="C9" s="10">
        <v>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86E1-BB2B-4B1D-8E4B-7D109FCD0DC1}">
  <dimension ref="A3:B11"/>
  <sheetViews>
    <sheetView workbookViewId="0">
      <selection activeCell="D11" sqref="D11"/>
    </sheetView>
  </sheetViews>
  <sheetFormatPr defaultRowHeight="15"/>
  <cols>
    <col min="1" max="1" width="12.85546875" bestFit="1" customWidth="1"/>
    <col min="2" max="2" width="23.5703125" bestFit="1" customWidth="1"/>
  </cols>
  <sheetData>
    <row r="3" spans="1:2">
      <c r="A3" s="8" t="s">
        <v>3</v>
      </c>
      <c r="B3" s="10" t="s">
        <v>23</v>
      </c>
    </row>
    <row r="4" spans="1:2">
      <c r="A4" t="s">
        <v>11</v>
      </c>
      <c r="B4" s="10">
        <v>2.75</v>
      </c>
    </row>
    <row r="5" spans="1:2">
      <c r="A5" t="s">
        <v>8</v>
      </c>
      <c r="B5" s="10">
        <v>6.8</v>
      </c>
    </row>
    <row r="6" spans="1:2">
      <c r="A6" t="s">
        <v>15</v>
      </c>
      <c r="B6" s="10">
        <v>1.8</v>
      </c>
    </row>
    <row r="7" spans="1:2">
      <c r="A7" t="s">
        <v>17</v>
      </c>
      <c r="B7" s="10">
        <v>11.5</v>
      </c>
    </row>
    <row r="8" spans="1:2">
      <c r="A8" t="s">
        <v>13</v>
      </c>
      <c r="B8" s="10">
        <v>7.8</v>
      </c>
    </row>
    <row r="9" spans="1:2">
      <c r="A9" t="s">
        <v>18</v>
      </c>
      <c r="B9" s="10">
        <v>2.5</v>
      </c>
    </row>
    <row r="10" spans="1:2">
      <c r="A10" t="s">
        <v>19</v>
      </c>
      <c r="B10" s="10">
        <v>14.5</v>
      </c>
    </row>
    <row r="11" spans="1:2">
      <c r="A11" t="s">
        <v>22</v>
      </c>
      <c r="B11" s="9">
        <v>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C091-DAC0-4730-AA37-FAD9EC255CE5}">
  <dimension ref="I1:T405"/>
  <sheetViews>
    <sheetView showGridLines="0" tabSelected="1" workbookViewId="0">
      <selection activeCell="D10" sqref="D10"/>
    </sheetView>
  </sheetViews>
  <sheetFormatPr defaultRowHeight="15"/>
  <cols>
    <col min="19" max="19" width="12.85546875" bestFit="1" customWidth="1"/>
    <col min="20" max="21" width="17.85546875" bestFit="1" customWidth="1"/>
  </cols>
  <sheetData>
    <row r="1" spans="9:13" ht="20.25">
      <c r="I1" s="11" t="s">
        <v>24</v>
      </c>
      <c r="J1" s="11"/>
      <c r="K1" s="11"/>
      <c r="L1" s="11"/>
      <c r="M1" s="11"/>
    </row>
    <row r="397" spans="19:20">
      <c r="S397" s="8" t="s">
        <v>3</v>
      </c>
      <c r="T397" t="s">
        <v>21</v>
      </c>
    </row>
    <row r="398" spans="19:20">
      <c r="S398" t="s">
        <v>11</v>
      </c>
      <c r="T398" s="9">
        <v>4</v>
      </c>
    </row>
    <row r="399" spans="19:20">
      <c r="S399" t="s">
        <v>8</v>
      </c>
      <c r="T399" s="9">
        <v>5</v>
      </c>
    </row>
    <row r="400" spans="19:20">
      <c r="S400" t="s">
        <v>15</v>
      </c>
      <c r="T400" s="9">
        <v>5</v>
      </c>
    </row>
    <row r="401" spans="19:20">
      <c r="S401" t="s">
        <v>17</v>
      </c>
      <c r="T401" s="9">
        <v>2</v>
      </c>
    </row>
    <row r="402" spans="19:20">
      <c r="S402" t="s">
        <v>13</v>
      </c>
      <c r="T402" s="9">
        <v>5</v>
      </c>
    </row>
    <row r="403" spans="19:20">
      <c r="S403" t="s">
        <v>18</v>
      </c>
      <c r="T403" s="9">
        <v>2</v>
      </c>
    </row>
    <row r="404" spans="19:20">
      <c r="S404" t="s">
        <v>19</v>
      </c>
      <c r="T404" s="9">
        <v>2</v>
      </c>
    </row>
    <row r="405" spans="19:20">
      <c r="S405" t="s">
        <v>22</v>
      </c>
      <c r="T405" s="9">
        <v>25</v>
      </c>
    </row>
  </sheetData>
  <mergeCells count="1">
    <mergeCell ref="I1:M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2026-03-28T00:52:07Z</dcterms:created>
  <dcterms:modified xsi:type="dcterms:W3CDTF">2026-03-28T03:50:50Z</dcterms:modified>
  <cp:category/>
  <cp:contentStatus/>
</cp:coreProperties>
</file>